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uV" sheetId="1" state="visible" r:id="rId3"/>
    <sheet name="Bilanz" sheetId="2" state="visible" r:id="rId4"/>
    <sheet name="IC-Nachwei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<sst xmlns="http://schemas.openxmlformats.org/spreadsheetml/2006/main" count="110" uniqueCount="97">
  <si>
    <t xml:space="preserve">Muster DE GmbH – Gewinn- und Verlustrechnung</t>
  </si>
  <si>
    <t xml:space="preserve">Angaben in TEUR  |  Geschäftsjahr 2024  |  Beteiligung: 100%  |  Land: Deutschland</t>
  </si>
  <si>
    <t xml:space="preserve">Position</t>
  </si>
  <si>
    <t xml:space="preserve">2024 (TEUR)</t>
  </si>
  <si>
    <t xml:space="preserve">2023 (TEUR)</t>
  </si>
  <si>
    <t xml:space="preserve">Δ (%)</t>
  </si>
  <si>
    <t xml:space="preserve">UMSATZERLÖSE</t>
  </si>
  <si>
    <t xml:space="preserve">  Inland</t>
  </si>
  <si>
    <t xml:space="preserve">  Ausland</t>
  </si>
  <si>
    <t xml:space="preserve">  Intercompany (Muster AT GmbH / Muster NL B.V.)</t>
  </si>
  <si>
    <t xml:space="preserve">Gesamtumsatz</t>
  </si>
  <si>
    <t xml:space="preserve">SONSTIGE ERTRÄGE</t>
  </si>
  <si>
    <t xml:space="preserve">  Bestandsveränderungen</t>
  </si>
  <si>
    <t xml:space="preserve">  Sonstige betriebliche Erträge</t>
  </si>
  <si>
    <t xml:space="preserve">Summe sonstige Erträge</t>
  </si>
  <si>
    <t xml:space="preserve">GESAMTLEISTUNG</t>
  </si>
  <si>
    <t xml:space="preserve">AUFWENDUNGEN</t>
  </si>
  <si>
    <t xml:space="preserve">  Materialaufwand</t>
  </si>
  <si>
    <t xml:space="preserve">  IC-Materialaufwand (Muster AT GmbH / Muster NL B.V.)</t>
  </si>
  <si>
    <t xml:space="preserve">  Personalaufwand</t>
  </si>
  <si>
    <t xml:space="preserve">  Abschreibungen (AfA)</t>
  </si>
  <si>
    <t xml:space="preserve">  Sonstiger betrieblicher Aufwand</t>
  </si>
  <si>
    <t xml:space="preserve">Summe Aufwendungen</t>
  </si>
  <si>
    <t xml:space="preserve">EBIT</t>
  </si>
  <si>
    <t xml:space="preserve">FINANZERGEBNIS</t>
  </si>
  <si>
    <t xml:space="preserve">  Zinserträge</t>
  </si>
  <si>
    <t xml:space="preserve">  Zinsaufwendungen</t>
  </si>
  <si>
    <t xml:space="preserve">  Beteiligungsergebnis</t>
  </si>
  <si>
    <t xml:space="preserve">Summe Finanzergebnis</t>
  </si>
  <si>
    <t xml:space="preserve">EBT (Ergebnis vor Steuern)</t>
  </si>
  <si>
    <t xml:space="preserve">  Ertragsteuern (30%)</t>
  </si>
  <si>
    <t xml:space="preserve">JAHRESÜBERSCHUSS</t>
  </si>
  <si>
    <t xml:space="preserve">KENNZAHLEN</t>
  </si>
  <si>
    <t xml:space="preserve">  EBITDA</t>
  </si>
  <si>
    <t xml:space="preserve">  EBIT-Marge</t>
  </si>
  <si>
    <t xml:space="preserve">  Nettomarge</t>
  </si>
  <si>
    <t xml:space="preserve">  IC-Umsatzanteil (TEUR)</t>
  </si>
  <si>
    <t xml:space="preserve">LEGENDE: Blau=Eingaben  |  Schwarz=Formeln  |  IC=Intercompany (eliminierungspflichtig)</t>
  </si>
  <si>
    <t xml:space="preserve">Muster DE GmbH – Bilanz</t>
  </si>
  <si>
    <t xml:space="preserve">Angaben in TEUR  |  Stichtag 31.12.2024  |  FX-Kurs (Stichtag): 1 EUR = 1.0 EUR</t>
  </si>
  <si>
    <t xml:space="preserve">AKTIVA</t>
  </si>
  <si>
    <t xml:space="preserve">PASSIVA</t>
  </si>
  <si>
    <t xml:space="preserve">ANLAGEVERMÖGEN</t>
  </si>
  <si>
    <t xml:space="preserve">EIGENKAPITAL</t>
  </si>
  <si>
    <t xml:space="preserve">  Immaterielle VG</t>
  </si>
  <si>
    <t xml:space="preserve">  Gezeichnetes Kapital</t>
  </si>
  <si>
    <t xml:space="preserve">  Sachanlagen</t>
  </si>
  <si>
    <t xml:space="preserve">  Kapitalrücklage</t>
  </si>
  <si>
    <t xml:space="preserve">  Finanzanlagen</t>
  </si>
  <si>
    <t xml:space="preserve">  Gewinnrücklagen</t>
  </si>
  <si>
    <t xml:space="preserve">Summe Anlagevermögen</t>
  </si>
  <si>
    <t xml:space="preserve">  Jahresüberschuss (→GuV)</t>
  </si>
  <si>
    <t xml:space="preserve">UMLAUFVERMÖGEN</t>
  </si>
  <si>
    <t xml:space="preserve">Summe Eigenkapital</t>
  </si>
  <si>
    <t xml:space="preserve">  Vorräte</t>
  </si>
  <si>
    <t xml:space="preserve">RÜCKSTELLUNGEN</t>
  </si>
  <si>
    <t xml:space="preserve">  Forderungen L&amp;L</t>
  </si>
  <si>
    <t xml:space="preserve">  Pensionsrückst.</t>
  </si>
  <si>
    <t xml:space="preserve">  IC-Forderungen</t>
  </si>
  <si>
    <t xml:space="preserve">  Steuerrückst.</t>
  </si>
  <si>
    <t xml:space="preserve">  Sonstige Forderungen</t>
  </si>
  <si>
    <t xml:space="preserve">  Sonstige Rückst.</t>
  </si>
  <si>
    <t xml:space="preserve">  Liquide Mittel</t>
  </si>
  <si>
    <t xml:space="preserve">Summe Rückstellungen</t>
  </si>
  <si>
    <t xml:space="preserve">Summe Umlaufvermögen</t>
  </si>
  <si>
    <t xml:space="preserve">VERBINDLICHKEITEN</t>
  </si>
  <si>
    <t xml:space="preserve">RECHNUNGSABGRENZUNG</t>
  </si>
  <si>
    <t xml:space="preserve">  Bankverbindlichkeiten</t>
  </si>
  <si>
    <t xml:space="preserve">  Aktiver RAP</t>
  </si>
  <si>
    <t xml:space="preserve">  Verbindlichkeiten L&amp;L</t>
  </si>
  <si>
    <t xml:space="preserve">BILANZSUMME AKTIVA</t>
  </si>
  <si>
    <t xml:space="preserve">  IC-Verbindlichkeiten</t>
  </si>
  <si>
    <t xml:space="preserve">  Sonstige Verbindl.</t>
  </si>
  <si>
    <t xml:space="preserve">Summe Verbindlichkeiten</t>
  </si>
  <si>
    <t xml:space="preserve">  Passiver RAP</t>
  </si>
  <si>
    <t xml:space="preserve">BILANZSUMME PASSIVA</t>
  </si>
  <si>
    <t xml:space="preserve">WÄHRUNGSHINWEIS: Abschluss in TEUR  |  Stichtagskurs (Bilanz): 1 EUR = 1.0 EUR  |  Durchschnittskurs (GuV): 1 EUR = 1.0 EUR</t>
  </si>
  <si>
    <t xml:space="preserve">Muster DE GmbH – Intercompany-Nachweis</t>
  </si>
  <si>
    <t xml:space="preserve">Alle IC-Positionen sind konsolidierungspflichtig (Eliminierung im Konzernabschluss)</t>
  </si>
  <si>
    <t xml:space="preserve">IC-Typ</t>
  </si>
  <si>
    <t xml:space="preserve">Gegenpartei</t>
  </si>
  <si>
    <t xml:space="preserve">Betrag TEUR</t>
  </si>
  <si>
    <t xml:space="preserve">Konto Sender</t>
  </si>
  <si>
    <t xml:space="preserve">Konto Empfänger</t>
  </si>
  <si>
    <t xml:space="preserve">Eliminierungsart</t>
  </si>
  <si>
    <t xml:space="preserve">IC-Umsatz</t>
  </si>
  <si>
    <t xml:space="preserve">Muster AT GmbH / Muster NL B.V.</t>
  </si>
  <si>
    <t xml:space="preserve">Umsatzerlöse</t>
  </si>
  <si>
    <t xml:space="preserve">Materialaufwand</t>
  </si>
  <si>
    <t xml:space="preserve">Aufwands-/Ertragskonsolidierung</t>
  </si>
  <si>
    <t xml:space="preserve">IC-Materialaufwand</t>
  </si>
  <si>
    <t xml:space="preserve">IC-Forderungen</t>
  </si>
  <si>
    <t xml:space="preserve">Ford. L&amp;L</t>
  </si>
  <si>
    <t xml:space="preserve">Verb. L&amp;L</t>
  </si>
  <si>
    <t xml:space="preserve">Schuldenkonsolidierung</t>
  </si>
  <si>
    <t xml:space="preserve">IC-Verbindlichkeiten</t>
  </si>
  <si>
    <t xml:space="preserve">SUMME IC-Positionen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</si>
</sst>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0.0%;\(0.0%\);\-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2E509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509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i val="true"/>
      <sz val="9"/>
      <color rgb="FF40404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006400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2E5090"/>
        <bgColor rgb="FF1F3864"/>
      </patternFill>
    </fill>
    <fill>
      <patternFill patternType="solid">
        <fgColor rgb="FFD6E4F0"/>
        <bgColor rgb="FFE2EFDA"/>
      </patternFill>
    </fill>
    <fill>
      <patternFill patternType="solid">
        <fgColor rgb="FFB8CCE4"/>
        <bgColor rgb="FFC0C0C0"/>
      </patternFill>
    </fill>
    <fill>
      <patternFill patternType="solid">
        <fgColor rgb="FFEAF1FB"/>
        <bgColor rgb="FFE2EFDA"/>
      </patternFill>
    </fill>
    <fill>
      <patternFill patternType="solid">
        <fgColor rgb="FFE2EFDA"/>
        <bgColor rgb="FFEAF1FB"/>
      </patternFill>
    </fill>
    <fill>
      <patternFill patternType="solid">
        <fgColor rgb="FFFEF9E7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/>
      <right/>
      <top style="medium">
        <color rgb="FF2E5090"/>
      </top>
      <bottom style="medium">
        <color rgb="FF2E5090"/>
      </bottom>
      <diagonal/>
    </border>
    <border diagonalUp="false" diagonalDown="false">
      <left/>
      <right/>
      <top style="medium">
        <color rgb="FF2E5090"/>
      </top>
      <bottom/>
      <diagonal/>
    </border>
    <border diagonalUp="false" diagonalDown="false">
      <left/>
      <right/>
      <top style="thick">
        <color rgb="FF1F3864"/>
      </top>
      <bottom style="thick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0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6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6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4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4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2" borderId="3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8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5" fontId="9" fillId="6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9E7"/>
      <rgbColor rgb="FFEAF1FB"/>
      <rgbColor rgb="FF660066"/>
      <rgbColor rgb="FFFF8080"/>
      <rgbColor rgb="FF0066CC"/>
      <rgbColor rgb="FFB8CCE4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6E4F0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6400"/>
      <rgbColor rgb="FF333300"/>
      <rgbColor rgb="FF993300"/>
      <rgbColor rgb="FF993366"/>
      <rgbColor rgb="FF2E5090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4" min="2" style="0" width="1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</row>
    <row r="2" customFormat="false" ht="15" hidden="false" customHeight="true" outlineLevel="0" collapsed="false">
      <c r="A2" s="2" t="s">
        <v>1</v>
      </c>
      <c r="B2" s="2"/>
      <c r="C2" s="2"/>
      <c r="D2" s="2"/>
    </row>
    <row r="3" customFormat="false" ht="21.75" hidden="false" customHeight="true" outlineLevel="0" collapsed="false">
      <c r="A3" s="3" t="s">
        <v>2</v>
      </c>
      <c r="B3" s="3" t="s">
        <v>3</v>
      </c>
      <c r="C3" s="3" t="s">
        <v>4</v>
      </c>
      <c r="D3" s="3" t="s">
        <v>5</v>
      </c>
    </row>
    <row r="4" customFormat="false" ht="16.5" hidden="false" customHeight="true" outlineLevel="0" collapsed="false">
      <c r="A4" s="4" t="s">
        <v>6</v>
      </c>
      <c r="B4" s="5"/>
      <c r="C4" s="5"/>
      <c r="D4" s="5"/>
    </row>
    <row r="5" customFormat="false" ht="16.5" hidden="false" customHeight="true" outlineLevel="0" collapsed="false">
      <c r="A5" s="6" t="s">
        <v>7</v>
      </c>
      <c r="B5" s="7" t="n">
        <v>38500</v>
      </c>
      <c r="C5" s="7" t="n">
        <v>35035</v>
      </c>
      <c r="D5" s="8" t="n">
        <f aca="false">IF(C5&lt;&gt;0,(B5-C5)/ABS(C5),0)</f>
        <v>0.0989010989010989</v>
      </c>
    </row>
    <row r="6" customFormat="false" ht="16.5" hidden="false" customHeight="true" outlineLevel="0" collapsed="false">
      <c r="A6" s="6" t="s">
        <v>8</v>
      </c>
      <c r="B6" s="7" t="n">
        <v>14200</v>
      </c>
      <c r="C6" s="7" t="n">
        <v>12496</v>
      </c>
      <c r="D6" s="8" t="n">
        <f aca="false">IF(C6&lt;&gt;0,(B6-C6)/ABS(C6),0)</f>
        <v>0.136363636363636</v>
      </c>
    </row>
    <row r="7" customFormat="false" ht="16.5" hidden="false" customHeight="true" outlineLevel="0" collapsed="false">
      <c r="A7" s="6" t="s">
        <v>9</v>
      </c>
      <c r="B7" s="7" t="n">
        <v>8400</v>
      </c>
      <c r="C7" s="7" t="n">
        <v>7980</v>
      </c>
      <c r="D7" s="8" t="n">
        <f aca="false">IF(C7&lt;&gt;0,(B7-C7)/ABS(C7),0)</f>
        <v>0.0526315789473684</v>
      </c>
    </row>
    <row r="8" customFormat="false" ht="18" hidden="false" customHeight="true" outlineLevel="0" collapsed="false">
      <c r="A8" s="9" t="s">
        <v>10</v>
      </c>
      <c r="B8" s="10" t="n">
        <f aca="false">B5+B6+B7</f>
        <v>61100</v>
      </c>
      <c r="C8" s="10" t="n">
        <f aca="false">C5+C6+C7</f>
        <v>55511</v>
      </c>
      <c r="D8" s="10" t="n">
        <f aca="false">IF(C8&lt;&gt;0,(B8-C8)/ABS(C8),0)</f>
        <v>0.100682747563546</v>
      </c>
    </row>
    <row r="9" customFormat="false" ht="16.5" hidden="false" customHeight="true" outlineLevel="0" collapsed="false">
      <c r="A9" s="4" t="s">
        <v>11</v>
      </c>
      <c r="B9" s="5"/>
      <c r="C9" s="5"/>
      <c r="D9" s="5"/>
    </row>
    <row r="10" customFormat="false" ht="16.5" hidden="false" customHeight="true" outlineLevel="0" collapsed="false">
      <c r="A10" s="6" t="s">
        <v>12</v>
      </c>
      <c r="B10" s="7" t="n">
        <v>900</v>
      </c>
      <c r="C10" s="7" t="n">
        <v>945</v>
      </c>
      <c r="D10" s="8" t="n">
        <f aca="false">IF(C10&lt;&gt;0,(B10-C10)/ABS(C10),0)</f>
        <v>-0.0476190476190476</v>
      </c>
    </row>
    <row r="11" customFormat="false" ht="16.5" hidden="false" customHeight="true" outlineLevel="0" collapsed="false">
      <c r="A11" s="6" t="s">
        <v>13</v>
      </c>
      <c r="B11" s="7" t="n">
        <v>1100</v>
      </c>
      <c r="C11" s="7" t="n">
        <v>1023</v>
      </c>
      <c r="D11" s="8" t="n">
        <f aca="false">IF(C11&lt;&gt;0,(B11-C11)/ABS(C11),0)</f>
        <v>0.0752688172043011</v>
      </c>
    </row>
    <row r="12" customFormat="false" ht="18" hidden="false" customHeight="true" outlineLevel="0" collapsed="false">
      <c r="A12" s="9" t="s">
        <v>14</v>
      </c>
      <c r="B12" s="10" t="n">
        <f aca="false">B10+B11</f>
        <v>2000</v>
      </c>
      <c r="C12" s="10" t="n">
        <f aca="false">C10+C11</f>
        <v>1968</v>
      </c>
      <c r="D12" s="10" t="n">
        <f aca="false">IF(C12&lt;&gt;0,(B12-C12)/ABS(C12),0)</f>
        <v>0.016260162601626</v>
      </c>
    </row>
    <row r="13" customFormat="false" ht="18" hidden="false" customHeight="true" outlineLevel="0" collapsed="false">
      <c r="A13" s="11" t="s">
        <v>15</v>
      </c>
      <c r="B13" s="12" t="n">
        <f aca="false">B8+B12</f>
        <v>63100</v>
      </c>
      <c r="C13" s="12" t="n">
        <f aca="false">C8+C12</f>
        <v>57479</v>
      </c>
      <c r="D13" s="13" t="n">
        <f aca="false">IF(C13&lt;&gt;0,(B13-C13)/ABS(C13),0)</f>
        <v>0.0977922371648776</v>
      </c>
    </row>
    <row r="14" customFormat="false" ht="16.5" hidden="false" customHeight="true" outlineLevel="0" collapsed="false">
      <c r="A14" s="4" t="s">
        <v>16</v>
      </c>
      <c r="B14" s="5"/>
      <c r="C14" s="5"/>
      <c r="D14" s="5"/>
    </row>
    <row r="15" customFormat="false" ht="16.5" hidden="false" customHeight="true" outlineLevel="0" collapsed="false">
      <c r="A15" s="6" t="s">
        <v>17</v>
      </c>
      <c r="B15" s="7" t="n">
        <v>-22000</v>
      </c>
      <c r="C15" s="7" t="n">
        <v>-21120</v>
      </c>
      <c r="D15" s="8" t="n">
        <f aca="false">IF(C15&lt;&gt;0,(B15-C15)/ABS(C15),0)</f>
        <v>-0.0416666666666667</v>
      </c>
    </row>
    <row r="16" customFormat="false" ht="16.5" hidden="false" customHeight="true" outlineLevel="0" collapsed="false">
      <c r="A16" s="6" t="s">
        <v>18</v>
      </c>
      <c r="B16" s="7" t="n">
        <v>-6200</v>
      </c>
      <c r="C16" s="7" t="n">
        <v>-5890</v>
      </c>
      <c r="D16" s="8" t="n">
        <f aca="false">IF(C16&lt;&gt;0,(B16-C16)/ABS(C16),0)</f>
        <v>-0.0526315789473684</v>
      </c>
    </row>
    <row r="17" customFormat="false" ht="16.5" hidden="false" customHeight="true" outlineLevel="0" collapsed="false">
      <c r="A17" s="6" t="s">
        <v>19</v>
      </c>
      <c r="B17" s="7" t="n">
        <v>-14500</v>
      </c>
      <c r="C17" s="7" t="n">
        <v>-14065</v>
      </c>
      <c r="D17" s="8" t="n">
        <f aca="false">IF(C17&lt;&gt;0,(B17-C17)/ABS(C17),0)</f>
        <v>-0.0309278350515464</v>
      </c>
    </row>
    <row r="18" customFormat="false" ht="16.5" hidden="false" customHeight="true" outlineLevel="0" collapsed="false">
      <c r="A18" s="6" t="s">
        <v>20</v>
      </c>
      <c r="B18" s="7" t="n">
        <v>-3800</v>
      </c>
      <c r="C18" s="7" t="n">
        <v>-3724</v>
      </c>
      <c r="D18" s="8" t="n">
        <f aca="false">IF(C18&lt;&gt;0,(B18-C18)/ABS(C18),0)</f>
        <v>-0.0204081632653061</v>
      </c>
    </row>
    <row r="19" customFormat="false" ht="16.5" hidden="false" customHeight="true" outlineLevel="0" collapsed="false">
      <c r="A19" s="6" t="s">
        <v>21</v>
      </c>
      <c r="B19" s="7" t="n">
        <v>-5400</v>
      </c>
      <c r="C19" s="7" t="n">
        <v>-5130</v>
      </c>
      <c r="D19" s="8" t="n">
        <f aca="false">IF(C19&lt;&gt;0,(B19-C19)/ABS(C19),0)</f>
        <v>-0.0526315789473684</v>
      </c>
    </row>
    <row r="20" customFormat="false" ht="18" hidden="false" customHeight="true" outlineLevel="0" collapsed="false">
      <c r="A20" s="9" t="s">
        <v>22</v>
      </c>
      <c r="B20" s="10" t="n">
        <f aca="false">B15+B16+B17+B18+B19</f>
        <v>-51900</v>
      </c>
      <c r="C20" s="10" t="n">
        <f aca="false">C15+C16+C17+C18+C19</f>
        <v>-49929</v>
      </c>
      <c r="D20" s="10" t="n">
        <f aca="false">IF(C20&lt;&gt;0,(B20-C20)/ABS(C20),0)</f>
        <v>-0.0394760559995193</v>
      </c>
    </row>
    <row r="21" customFormat="false" ht="18" hidden="false" customHeight="true" outlineLevel="0" collapsed="false">
      <c r="A21" s="11" t="s">
        <v>23</v>
      </c>
      <c r="B21" s="12" t="n">
        <f aca="false">B13+B20</f>
        <v>11200</v>
      </c>
      <c r="C21" s="12" t="n">
        <f aca="false">C13+C20</f>
        <v>7550</v>
      </c>
      <c r="D21" s="13" t="n">
        <f aca="false">IF(C21&lt;&gt;0,(B21-C21)/ABS(C21),0)</f>
        <v>0.483443708609272</v>
      </c>
    </row>
    <row r="22" customFormat="false" ht="16.5" hidden="false" customHeight="true" outlineLevel="0" collapsed="false">
      <c r="A22" s="4" t="s">
        <v>24</v>
      </c>
      <c r="B22" s="5"/>
      <c r="C22" s="5"/>
      <c r="D22" s="5"/>
    </row>
    <row r="23" customFormat="false" ht="16.5" hidden="false" customHeight="true" outlineLevel="0" collapsed="false">
      <c r="A23" s="6" t="s">
        <v>25</v>
      </c>
      <c r="B23" s="7" t="n">
        <v>180</v>
      </c>
      <c r="C23" s="7" t="n">
        <v>162</v>
      </c>
      <c r="D23" s="8" t="n">
        <f aca="false">IF(C23&lt;&gt;0,(B23-C23)/ABS(C23),0)</f>
        <v>0.111111111111111</v>
      </c>
    </row>
    <row r="24" customFormat="false" ht="16.5" hidden="false" customHeight="true" outlineLevel="0" collapsed="false">
      <c r="A24" s="6" t="s">
        <v>26</v>
      </c>
      <c r="B24" s="7" t="n">
        <v>-1050</v>
      </c>
      <c r="C24" s="7" t="n">
        <v>-1102</v>
      </c>
      <c r="D24" s="8" t="n">
        <f aca="false">IF(C24&lt;&gt;0,(B24-C24)/ABS(C24),0)</f>
        <v>0.0471869328493648</v>
      </c>
    </row>
    <row r="25" customFormat="false" ht="16.5" hidden="false" customHeight="true" outlineLevel="0" collapsed="false">
      <c r="A25" s="6" t="s">
        <v>27</v>
      </c>
      <c r="B25" s="7" t="n">
        <v>350</v>
      </c>
      <c r="C25" s="7" t="n">
        <v>298</v>
      </c>
      <c r="D25" s="8" t="n">
        <f aca="false">IF(C25&lt;&gt;0,(B25-C25)/ABS(C25),0)</f>
        <v>0.174496644295302</v>
      </c>
    </row>
    <row r="26" customFormat="false" ht="18" hidden="false" customHeight="true" outlineLevel="0" collapsed="false">
      <c r="A26" s="9" t="s">
        <v>28</v>
      </c>
      <c r="B26" s="10" t="n">
        <f aca="false">B23+B24+B25</f>
        <v>-520</v>
      </c>
      <c r="C26" s="10" t="n">
        <f aca="false">C23+C24+C25</f>
        <v>-642</v>
      </c>
      <c r="D26" s="10" t="n">
        <f aca="false">IF(C26&lt;&gt;0,(B26-C26)/ABS(C26),0)</f>
        <v>0.190031152647975</v>
      </c>
    </row>
    <row r="27" customFormat="false" ht="18" hidden="false" customHeight="true" outlineLevel="0" collapsed="false">
      <c r="A27" s="11" t="s">
        <v>29</v>
      </c>
      <c r="B27" s="12" t="n">
        <f aca="false">B21+B26</f>
        <v>10680</v>
      </c>
      <c r="C27" s="12" t="n">
        <f aca="false">C21+C26</f>
        <v>6908</v>
      </c>
      <c r="D27" s="13" t="n">
        <f aca="false">IF(C27&lt;&gt;0,(B27-C27)/ABS(C27),0)</f>
        <v>0.546033584250145</v>
      </c>
    </row>
    <row r="28" customFormat="false" ht="16.5" hidden="false" customHeight="true" outlineLevel="0" collapsed="false">
      <c r="A28" s="6" t="s">
        <v>30</v>
      </c>
      <c r="B28" s="14" t="n">
        <f aca="false">-B27*0.3</f>
        <v>-3204</v>
      </c>
      <c r="C28" s="14" t="n">
        <f aca="false">-C27*0.3</f>
        <v>-2072.4</v>
      </c>
      <c r="D28" s="8" t="n">
        <f aca="false">IF(C28&lt;&gt;0,(B28-C28)/ABS(C28),0)</f>
        <v>-0.546033584250145</v>
      </c>
    </row>
    <row r="29" customFormat="false" ht="18" hidden="false" customHeight="true" outlineLevel="0" collapsed="false">
      <c r="A29" s="11" t="s">
        <v>31</v>
      </c>
      <c r="B29" s="12" t="n">
        <f aca="false">B27+B28</f>
        <v>7476</v>
      </c>
      <c r="C29" s="12" t="n">
        <f aca="false">C27+C28</f>
        <v>4835.6</v>
      </c>
      <c r="D29" s="13" t="n">
        <f aca="false">IF(C29&lt;&gt;0,(B29-C29)/ABS(C29),0)</f>
        <v>0.546033584250145</v>
      </c>
    </row>
    <row r="30" customFormat="false" ht="16.5" hidden="false" customHeight="true" outlineLevel="0" collapsed="false">
      <c r="A30" s="4" t="s">
        <v>32</v>
      </c>
      <c r="B30" s="5"/>
      <c r="C30" s="5"/>
      <c r="D30" s="5"/>
    </row>
    <row r="31" customFormat="false" ht="16.5" hidden="false" customHeight="true" outlineLevel="0" collapsed="false">
      <c r="A31" s="6" t="s">
        <v>33</v>
      </c>
      <c r="B31" s="14" t="n">
        <f aca="false">B21-B18</f>
        <v>15000</v>
      </c>
      <c r="C31" s="14" t="n">
        <f aca="false">C21-C18</f>
        <v>11274</v>
      </c>
      <c r="D31" s="8" t="n">
        <f aca="false">IF(C31&lt;&gt;0,(B31-C31)/ABS(C31),0)</f>
        <v>0.330494944119212</v>
      </c>
    </row>
    <row r="32" customFormat="false" ht="16.5" hidden="false" customHeight="true" outlineLevel="0" collapsed="false">
      <c r="A32" s="6" t="s">
        <v>34</v>
      </c>
      <c r="B32" s="15" t="n">
        <f aca="false">B21/B8</f>
        <v>0.183306055646481</v>
      </c>
      <c r="C32" s="15" t="n">
        <f aca="false">C21/C8</f>
        <v>0.136009079281584</v>
      </c>
      <c r="D32" s="8" t="n">
        <f aca="false">B32-C32</f>
        <v>0.0472969763648974</v>
      </c>
    </row>
    <row r="33" customFormat="false" ht="16.5" hidden="false" customHeight="true" outlineLevel="0" collapsed="false">
      <c r="A33" s="6" t="s">
        <v>35</v>
      </c>
      <c r="B33" s="15" t="n">
        <f aca="false">B29/B8</f>
        <v>0.122356792144026</v>
      </c>
      <c r="C33" s="15" t="n">
        <f aca="false">C29/C8</f>
        <v>0.0871106627515267</v>
      </c>
      <c r="D33" s="8" t="n">
        <f aca="false">B33-C33</f>
        <v>0.0352461293924995</v>
      </c>
    </row>
    <row r="34" customFormat="false" ht="16.5" hidden="false" customHeight="true" outlineLevel="0" collapsed="false">
      <c r="A34" s="6" t="s">
        <v>36</v>
      </c>
      <c r="B34" s="7" t="n">
        <v>8400</v>
      </c>
      <c r="C34" s="7" t="n">
        <v>7980</v>
      </c>
      <c r="D34" s="8" t="n">
        <f aca="false">IF(C34&lt;&gt;0,(B34-C34)/ABS(C34),0)</f>
        <v>0.0526315789473684</v>
      </c>
    </row>
    <row r="36" customFormat="false" ht="15" hidden="false" customHeight="false" outlineLevel="0" collapsed="false">
      <c r="A36" s="16" t="s">
        <v>37</v>
      </c>
      <c r="B36" s="16"/>
      <c r="C36" s="16"/>
      <c r="D36" s="16"/>
    </row>
  </sheetData>
  <mergeCells count="3">
    <mergeCell ref="A1:D1"/>
    <mergeCell ref="A2:D2"/>
    <mergeCell ref="A36:D3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"/>
    <col collapsed="false" customWidth="true" hidden="false" outlineLevel="0" max="4" min="3" style="0" width="14"/>
    <col collapsed="false" customWidth="true" hidden="false" outlineLevel="0" max="5" min="5" style="0" width="34"/>
    <col collapsed="false" customWidth="true" hidden="false" outlineLevel="0" max="6" min="6" style="0" width="2"/>
    <col collapsed="false" customWidth="true" hidden="false" outlineLevel="0" max="8" min="7" style="0" width="14"/>
  </cols>
  <sheetData>
    <row r="1" customFormat="false" ht="27.75" hidden="false" customHeight="true" outlineLevel="0" collapsed="false">
      <c r="A1" s="1" t="s">
        <v>38</v>
      </c>
      <c r="B1" s="1"/>
      <c r="C1" s="1"/>
      <c r="D1" s="1"/>
      <c r="E1" s="1"/>
      <c r="F1" s="1"/>
      <c r="G1" s="1"/>
      <c r="H1" s="1"/>
    </row>
    <row r="2" customFormat="false" ht="15" hidden="false" customHeight="true" outlineLevel="0" collapsed="false">
      <c r="A2" s="2" t="s">
        <v>39</v>
      </c>
      <c r="B2" s="2"/>
      <c r="C2" s="2"/>
      <c r="D2" s="2"/>
      <c r="E2" s="2"/>
      <c r="F2" s="2"/>
      <c r="G2" s="2"/>
      <c r="H2" s="2"/>
    </row>
    <row r="3" customFormat="false" ht="21.75" hidden="false" customHeight="true" outlineLevel="0" collapsed="false">
      <c r="A3" s="17" t="s">
        <v>40</v>
      </c>
      <c r="C3" s="3" t="s">
        <v>3</v>
      </c>
      <c r="D3" s="3" t="s">
        <v>4</v>
      </c>
      <c r="E3" s="17" t="s">
        <v>41</v>
      </c>
      <c r="G3" s="3" t="s">
        <v>3</v>
      </c>
      <c r="H3" s="3" t="s">
        <v>4</v>
      </c>
    </row>
    <row r="4" customFormat="false" ht="16.5" hidden="false" customHeight="true" outlineLevel="0" collapsed="false">
      <c r="A4" s="4" t="s">
        <v>42</v>
      </c>
      <c r="B4" s="5"/>
      <c r="C4" s="5"/>
      <c r="D4" s="5"/>
      <c r="E4" s="4" t="s">
        <v>43</v>
      </c>
      <c r="F4" s="5"/>
      <c r="G4" s="5"/>
      <c r="H4" s="5"/>
    </row>
    <row r="5" customFormat="false" ht="16.5" hidden="false" customHeight="true" outlineLevel="0" collapsed="false">
      <c r="A5" s="6" t="s">
        <v>44</v>
      </c>
      <c r="C5" s="7" t="n">
        <v>3200</v>
      </c>
      <c r="D5" s="7" t="n">
        <v>3456</v>
      </c>
      <c r="E5" s="6" t="s">
        <v>45</v>
      </c>
      <c r="G5" s="7" t="n">
        <v>5000</v>
      </c>
      <c r="H5" s="7" t="n">
        <v>5000</v>
      </c>
    </row>
    <row r="6" customFormat="false" ht="16.5" hidden="false" customHeight="true" outlineLevel="0" collapsed="false">
      <c r="A6" s="6" t="s">
        <v>46</v>
      </c>
      <c r="C6" s="7" t="n">
        <v>21000</v>
      </c>
      <c r="D6" s="7" t="n">
        <v>22050</v>
      </c>
      <c r="E6" s="6" t="s">
        <v>47</v>
      </c>
      <c r="G6" s="7" t="n">
        <v>8000</v>
      </c>
      <c r="H6" s="7" t="n">
        <v>8000</v>
      </c>
    </row>
    <row r="7" customFormat="false" ht="16.5" hidden="false" customHeight="true" outlineLevel="0" collapsed="false">
      <c r="A7" s="6" t="s">
        <v>48</v>
      </c>
      <c r="C7" s="7" t="n">
        <v>3500</v>
      </c>
      <c r="D7" s="7" t="n">
        <v>3430</v>
      </c>
      <c r="E7" s="6" t="s">
        <v>49</v>
      </c>
      <c r="G7" s="7" t="n">
        <v>9500</v>
      </c>
      <c r="H7" s="7" t="n">
        <v>8360</v>
      </c>
    </row>
    <row r="8" customFormat="false" ht="16.5" hidden="false" customHeight="true" outlineLevel="0" collapsed="false">
      <c r="A8" s="9" t="s">
        <v>50</v>
      </c>
      <c r="B8" s="18"/>
      <c r="C8" s="10" t="n">
        <f aca="false">C5+C6+C7</f>
        <v>27700</v>
      </c>
      <c r="D8" s="10" t="n">
        <f aca="false">D5+D6+D7</f>
        <v>28936</v>
      </c>
      <c r="E8" s="19" t="s">
        <v>51</v>
      </c>
      <c r="F8" s="18"/>
      <c r="G8" s="20" t="n">
        <f aca="false">GuV!B29</f>
        <v>7476</v>
      </c>
      <c r="H8" s="20" t="n">
        <f aca="false">GuV!C29</f>
        <v>4835.6</v>
      </c>
    </row>
    <row r="9" customFormat="false" ht="16.5" hidden="false" customHeight="true" outlineLevel="0" collapsed="false">
      <c r="A9" s="21" t="s">
        <v>52</v>
      </c>
      <c r="B9" s="18"/>
      <c r="C9" s="18"/>
      <c r="D9" s="18"/>
      <c r="E9" s="9" t="s">
        <v>53</v>
      </c>
      <c r="F9" s="18"/>
      <c r="G9" s="10" t="n">
        <f aca="false">G5+G6+G7+G8</f>
        <v>29976</v>
      </c>
      <c r="H9" s="10" t="n">
        <f aca="false">H5+H6+H7+H8</f>
        <v>26195.6</v>
      </c>
    </row>
    <row r="10" customFormat="false" ht="16.5" hidden="false" customHeight="true" outlineLevel="0" collapsed="false">
      <c r="A10" s="22" t="s">
        <v>54</v>
      </c>
      <c r="B10" s="5"/>
      <c r="C10" s="23" t="n">
        <v>9500</v>
      </c>
      <c r="D10" s="23" t="n">
        <v>9025</v>
      </c>
      <c r="E10" s="4" t="s">
        <v>55</v>
      </c>
      <c r="F10" s="5"/>
      <c r="G10" s="5"/>
      <c r="H10" s="5"/>
    </row>
    <row r="11" customFormat="false" ht="16.5" hidden="false" customHeight="true" outlineLevel="0" collapsed="false">
      <c r="A11" s="6" t="s">
        <v>56</v>
      </c>
      <c r="C11" s="7" t="n">
        <v>11800</v>
      </c>
      <c r="D11" s="7" t="n">
        <v>10974</v>
      </c>
      <c r="E11" s="6" t="s">
        <v>57</v>
      </c>
      <c r="G11" s="7" t="n">
        <v>4600</v>
      </c>
      <c r="H11" s="7" t="n">
        <v>4462</v>
      </c>
    </row>
    <row r="12" customFormat="false" ht="16.5" hidden="false" customHeight="true" outlineLevel="0" collapsed="false">
      <c r="A12" s="6" t="s">
        <v>58</v>
      </c>
      <c r="C12" s="7" t="n">
        <v>4200</v>
      </c>
      <c r="D12" s="7" t="n">
        <v>4074</v>
      </c>
      <c r="E12" s="6" t="s">
        <v>59</v>
      </c>
      <c r="G12" s="7" t="n">
        <v>2100</v>
      </c>
      <c r="H12" s="7" t="n">
        <v>1995</v>
      </c>
    </row>
    <row r="13" customFormat="false" ht="16.5" hidden="false" customHeight="true" outlineLevel="0" collapsed="false">
      <c r="A13" s="6" t="s">
        <v>60</v>
      </c>
      <c r="C13" s="7" t="n">
        <v>1500</v>
      </c>
      <c r="D13" s="7" t="n">
        <v>1530</v>
      </c>
      <c r="E13" s="6" t="s">
        <v>61</v>
      </c>
      <c r="G13" s="7" t="n">
        <v>2500</v>
      </c>
      <c r="H13" s="7" t="n">
        <v>2575</v>
      </c>
    </row>
    <row r="14" customFormat="false" ht="16.5" hidden="false" customHeight="true" outlineLevel="0" collapsed="false">
      <c r="A14" s="19" t="s">
        <v>62</v>
      </c>
      <c r="B14" s="18"/>
      <c r="C14" s="24" t="n">
        <v>6200</v>
      </c>
      <c r="D14" s="24" t="n">
        <v>5456</v>
      </c>
      <c r="E14" s="9" t="s">
        <v>63</v>
      </c>
      <c r="F14" s="18"/>
      <c r="G14" s="10" t="n">
        <f aca="false">G11+G12+G13</f>
        <v>9200</v>
      </c>
      <c r="H14" s="10" t="n">
        <f aca="false">H11+H12+H13</f>
        <v>9032</v>
      </c>
    </row>
    <row r="15" customFormat="false" ht="16.5" hidden="false" customHeight="true" outlineLevel="0" collapsed="false">
      <c r="A15" s="25" t="s">
        <v>64</v>
      </c>
      <c r="B15" s="26"/>
      <c r="C15" s="27" t="n">
        <f aca="false">C10+C11+C12+C13+C14</f>
        <v>33200</v>
      </c>
      <c r="D15" s="27" t="n">
        <f aca="false">D10+D11+D12+D13+D14</f>
        <v>31059</v>
      </c>
      <c r="E15" s="4" t="s">
        <v>65</v>
      </c>
      <c r="F15" s="26"/>
      <c r="G15" s="26"/>
      <c r="H15" s="26"/>
    </row>
    <row r="16" customFormat="false" ht="16.5" hidden="false" customHeight="true" outlineLevel="0" collapsed="false">
      <c r="A16" s="4" t="s">
        <v>66</v>
      </c>
      <c r="B16" s="5"/>
      <c r="C16" s="5"/>
      <c r="D16" s="5"/>
      <c r="E16" s="22" t="s">
        <v>67</v>
      </c>
      <c r="F16" s="5"/>
      <c r="G16" s="23" t="n">
        <v>9800</v>
      </c>
      <c r="H16" s="23" t="n">
        <v>10584</v>
      </c>
    </row>
    <row r="17" customFormat="false" ht="16.5" hidden="false" customHeight="true" outlineLevel="0" collapsed="false">
      <c r="A17" s="6" t="s">
        <v>68</v>
      </c>
      <c r="C17" s="7" t="n">
        <v>500</v>
      </c>
      <c r="D17" s="7" t="n">
        <v>550</v>
      </c>
      <c r="E17" s="6" t="s">
        <v>69</v>
      </c>
      <c r="G17" s="7" t="n">
        <v>8900</v>
      </c>
      <c r="H17" s="7" t="n">
        <v>8455</v>
      </c>
    </row>
    <row r="18" customFormat="false" ht="16.5" hidden="false" customHeight="true" outlineLevel="0" collapsed="false">
      <c r="A18" s="11" t="s">
        <v>70</v>
      </c>
      <c r="B18" s="28"/>
      <c r="C18" s="12" t="n">
        <f aca="false">C8+C15+C17</f>
        <v>61400</v>
      </c>
      <c r="D18" s="12" t="n">
        <f aca="false">D8+D15+D17</f>
        <v>60545</v>
      </c>
      <c r="E18" s="29" t="s">
        <v>71</v>
      </c>
      <c r="F18" s="28"/>
      <c r="G18" s="30" t="n">
        <v>3800</v>
      </c>
      <c r="H18" s="30" t="n">
        <v>3686</v>
      </c>
    </row>
    <row r="19" customFormat="false" ht="16.5" hidden="false" customHeight="true" outlineLevel="0" collapsed="false">
      <c r="E19" s="6" t="s">
        <v>72</v>
      </c>
      <c r="G19" s="7" t="n">
        <v>4200</v>
      </c>
      <c r="H19" s="7" t="n">
        <v>4242</v>
      </c>
    </row>
    <row r="20" customFormat="false" ht="16.5" hidden="false" customHeight="true" outlineLevel="0" collapsed="false">
      <c r="A20" s="18"/>
      <c r="B20" s="18"/>
      <c r="C20" s="18"/>
      <c r="D20" s="18"/>
      <c r="E20" s="9" t="s">
        <v>73</v>
      </c>
      <c r="F20" s="18"/>
      <c r="G20" s="10" t="n">
        <f aca="false">G16+G17+G18+G19</f>
        <v>26700</v>
      </c>
      <c r="H20" s="10" t="n">
        <f aca="false">H16+H17+H18+H19</f>
        <v>26967</v>
      </c>
    </row>
    <row r="21" customFormat="false" ht="16.5" hidden="false" customHeight="true" outlineLevel="0" collapsed="false">
      <c r="E21" s="6" t="s">
        <v>74</v>
      </c>
      <c r="G21" s="7" t="n">
        <v>300</v>
      </c>
      <c r="H21" s="7" t="n">
        <v>285</v>
      </c>
    </row>
    <row r="22" customFormat="false" ht="16.5" hidden="false" customHeight="true" outlineLevel="0" collapsed="false">
      <c r="A22" s="28"/>
      <c r="B22" s="28"/>
      <c r="C22" s="28"/>
      <c r="D22" s="28"/>
      <c r="E22" s="11" t="s">
        <v>75</v>
      </c>
      <c r="F22" s="28"/>
      <c r="G22" s="12" t="n">
        <f aca="false">G9+G14+G20+G21</f>
        <v>66176</v>
      </c>
      <c r="H22" s="12" t="n">
        <f aca="false">H9+H14+H20+H21</f>
        <v>62479.6</v>
      </c>
    </row>
    <row r="24" customFormat="false" ht="18" hidden="false" customHeight="true" outlineLevel="0" collapsed="false">
      <c r="A24" s="31" t="str">
        <f aca="false">IF(C18=G22,"✅  Bilanz ausgeglichen – Bilanzsumme: "&amp;TEXT(C18,"#,##0")&amp;" TEUR","❌  Differenz: "&amp;TEXT(C18-G22,"#,##0")&amp;" TEUR")</f>
        <v>❌  Differenz: -4,776 TEUR</v>
      </c>
      <c r="B24" s="31"/>
      <c r="C24" s="31"/>
      <c r="D24" s="31"/>
      <c r="E24" s="31"/>
      <c r="F24" s="31"/>
      <c r="G24" s="31"/>
      <c r="H24" s="31"/>
    </row>
    <row r="26" customFormat="false" ht="15" hidden="false" customHeight="false" outlineLevel="0" collapsed="false">
      <c r="A26" s="32" t="s">
        <v>76</v>
      </c>
      <c r="B26" s="32"/>
      <c r="C26" s="32"/>
      <c r="D26" s="32"/>
      <c r="E26" s="32"/>
      <c r="F26" s="32"/>
      <c r="G26" s="32"/>
      <c r="H26" s="32"/>
    </row>
  </sheetData>
  <mergeCells count="4">
    <mergeCell ref="A1:H1"/>
    <mergeCell ref="A2:H2"/>
    <mergeCell ref="A24:H24"/>
    <mergeCell ref="A26:H2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8"/>
    <col collapsed="false" customWidth="true" hidden="false" outlineLevel="0" max="5" min="4" style="0" width="14"/>
    <col collapsed="false" customWidth="true" hidden="false" outlineLevel="0" max="6" min="6" style="0" width="20"/>
  </cols>
  <sheetData>
    <row r="1" customFormat="false" ht="27.75" hidden="false" customHeight="true" outlineLevel="0" collapsed="false">
      <c r="A1" s="1" t="s">
        <v>77</v>
      </c>
      <c r="B1" s="1"/>
      <c r="C1" s="1"/>
      <c r="D1" s="1"/>
      <c r="E1" s="1"/>
      <c r="F1" s="1"/>
    </row>
    <row r="2" customFormat="false" ht="15" hidden="false" customHeight="true" outlineLevel="0" collapsed="false">
      <c r="A2" s="2" t="s">
        <v>78</v>
      </c>
      <c r="B2" s="2"/>
      <c r="C2" s="2"/>
      <c r="D2" s="2"/>
      <c r="E2" s="2"/>
      <c r="F2" s="2"/>
    </row>
    <row r="3" customFormat="false" ht="19.5" hidden="false" customHeight="true" outlineLevel="0" collapsed="false">
      <c r="A3" s="3" t="s">
        <v>79</v>
      </c>
      <c r="B3" s="3" t="s">
        <v>80</v>
      </c>
      <c r="C3" s="3" t="s">
        <v>81</v>
      </c>
      <c r="D3" s="3" t="s">
        <v>82</v>
      </c>
      <c r="E3" s="3" t="s">
        <v>83</v>
      </c>
      <c r="F3" s="3" t="s">
        <v>84</v>
      </c>
    </row>
    <row r="4" customFormat="false" ht="16.5" hidden="false" customHeight="true" outlineLevel="0" collapsed="false">
      <c r="A4" s="33" t="s">
        <v>85</v>
      </c>
      <c r="B4" s="33" t="s">
        <v>86</v>
      </c>
      <c r="C4" s="34" t="n">
        <v>8400</v>
      </c>
      <c r="D4" s="33" t="s">
        <v>87</v>
      </c>
      <c r="E4" s="33" t="s">
        <v>88</v>
      </c>
      <c r="F4" s="33" t="s">
        <v>89</v>
      </c>
    </row>
    <row r="5" customFormat="false" ht="16.5" hidden="false" customHeight="true" outlineLevel="0" collapsed="false">
      <c r="A5" s="6" t="s">
        <v>90</v>
      </c>
      <c r="B5" s="6" t="s">
        <v>86</v>
      </c>
      <c r="C5" s="7" t="n">
        <v>-6200</v>
      </c>
      <c r="D5" s="6" t="s">
        <v>88</v>
      </c>
      <c r="E5" s="6" t="s">
        <v>87</v>
      </c>
      <c r="F5" s="6" t="s">
        <v>89</v>
      </c>
    </row>
    <row r="6" customFormat="false" ht="16.5" hidden="false" customHeight="true" outlineLevel="0" collapsed="false">
      <c r="A6" s="33" t="s">
        <v>91</v>
      </c>
      <c r="B6" s="33" t="s">
        <v>86</v>
      </c>
      <c r="C6" s="34" t="n">
        <v>4200</v>
      </c>
      <c r="D6" s="33" t="s">
        <v>92</v>
      </c>
      <c r="E6" s="33" t="s">
        <v>93</v>
      </c>
      <c r="F6" s="33" t="s">
        <v>94</v>
      </c>
    </row>
    <row r="7" customFormat="false" ht="16.5" hidden="false" customHeight="true" outlineLevel="0" collapsed="false">
      <c r="A7" s="6" t="s">
        <v>95</v>
      </c>
      <c r="B7" s="6" t="s">
        <v>86</v>
      </c>
      <c r="C7" s="7" t="n">
        <v>3800</v>
      </c>
      <c r="D7" s="6" t="s">
        <v>93</v>
      </c>
      <c r="E7" s="6" t="s">
        <v>92</v>
      </c>
      <c r="F7" s="6" t="s">
        <v>94</v>
      </c>
    </row>
    <row r="8" customFormat="false" ht="18" hidden="false" customHeight="true" outlineLevel="0" collapsed="false">
      <c r="A8" s="35" t="s">
        <v>96</v>
      </c>
      <c r="B8" s="18"/>
      <c r="C8" s="10" t="n">
        <f aca="false">SUM(C4:C7)</f>
        <v>10200</v>
      </c>
      <c r="D8" s="18"/>
      <c r="E8" s="18"/>
      <c r="F8" s="18"/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2026-05-09T06:48:39Z</dcterms:created>
  <dc:creator>openpyxl</dc:creator>
  <dc:description/>
  <dc:language>en-US</dc:language>
  <cp:lastModifiedBy/>
  <dcterms:modified xsi:type="dcterms:W3CDTF">2026-05-09T06:48:39Z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